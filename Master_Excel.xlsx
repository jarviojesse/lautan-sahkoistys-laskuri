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uttprojekti\lauttaprojekti\"/>
    </mc:Choice>
  </mc:AlternateContent>
  <xr:revisionPtr revIDLastSave="0" documentId="13_ncr:1_{97AA60DF-98D8-4179-8178-B016E688D636}" xr6:coauthVersionLast="47" xr6:coauthVersionMax="47" xr10:uidLastSave="{00000000-0000-0000-0000-000000000000}"/>
  <bookViews>
    <workbookView xWindow="-120" yWindow="-120" windowWidth="29040" windowHeight="15720" activeTab="1" xr2:uid="{09E759BB-7DD2-467C-8E3E-FCB2B251B526}"/>
  </bookViews>
  <sheets>
    <sheet name="Lähtötiedot" sheetId="1" r:id="rId1"/>
    <sheet name="Aikataulu &amp; Reitti" sheetId="2" r:id="rId2"/>
    <sheet name="Laskenta &amp; Optimoint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2" i="2"/>
</calcChain>
</file>

<file path=xl/sharedStrings.xml><?xml version="1.0" encoding="utf-8"?>
<sst xmlns="http://schemas.openxmlformats.org/spreadsheetml/2006/main" count="190" uniqueCount="117">
  <si>
    <t>Ryhmä</t>
  </si>
  <si>
    <t>Parametri</t>
  </si>
  <si>
    <t>Arvo</t>
  </si>
  <si>
    <t>Yksikkö</t>
  </si>
  <si>
    <t>Nykytila</t>
  </si>
  <si>
    <t>Sähköistys</t>
  </si>
  <si>
    <t>Tekninen</t>
  </si>
  <si>
    <t>Talous</t>
  </si>
  <si>
    <t>Polttoaineen hinta</t>
  </si>
  <si>
    <t>€/l</t>
  </si>
  <si>
    <t>Polttoaineen ominaiskulutus</t>
  </si>
  <si>
    <t>l/kWh</t>
  </si>
  <si>
    <t>Dieselkoneiden huoltokulu</t>
  </si>
  <si>
    <t>€/kW/v</t>
  </si>
  <si>
    <t>Huoltokulun vertailuteho</t>
  </si>
  <si>
    <t>kW</t>
  </si>
  <si>
    <t>Sähkön energiahinta</t>
  </si>
  <si>
    <t>€/kWh</t>
  </si>
  <si>
    <t>Lautta-akuston CAPEX</t>
  </si>
  <si>
    <t>Ranta-BESS CAPEX</t>
  </si>
  <si>
    <t>BESS-vuosihuolto</t>
  </si>
  <si>
    <t>€/kWh/v</t>
  </si>
  <si>
    <t>Ajonaikainen sähköteho</t>
  </si>
  <si>
    <t>SoC-ikkuna (min)</t>
  </si>
  <si>
    <t>%</t>
  </si>
  <si>
    <t>SoC-ikkuna (max)</t>
  </si>
  <si>
    <t>EoL-kriteeri (SOH)</t>
  </si>
  <si>
    <t>Diskonttokorko</t>
  </si>
  <si>
    <t>Lähtöpaikka</t>
  </si>
  <si>
    <t>Lähtöaika</t>
  </si>
  <si>
    <t>Seisonta-aika (min)</t>
  </si>
  <si>
    <t>Lataus sallittu? (Y/N)</t>
  </si>
  <si>
    <t>Houtskari</t>
  </si>
  <si>
    <t>Y</t>
  </si>
  <si>
    <t>Korppoo</t>
  </si>
  <si>
    <t>Kohde</t>
  </si>
  <si>
    <t>Kaava/Lähde</t>
  </si>
  <si>
    <t>Ajon energia / vuorokausi</t>
  </si>
  <si>
    <t>kWh</t>
  </si>
  <si>
    <t>(24 ajoa * 425 kWh)</t>
  </si>
  <si>
    <t>Nykytila: Polttoainekulu / v</t>
  </si>
  <si>
    <t>€/a</t>
  </si>
  <si>
    <t>(Vuosienergia * 0,39 €/kWh)</t>
  </si>
  <si>
    <t>Sähköistys: Energia + Siirto / v</t>
  </si>
  <si>
    <t>(Esimerkkitapaus, Rantavaihtoehto 4)</t>
  </si>
  <si>
    <t>Vuotuinen nettosäästö</t>
  </si>
  <si>
    <t>(Diesel kulut - Sähkö kulut)</t>
  </si>
  <si>
    <t>Investointi (CAPEX)</t>
  </si>
  <si>
    <t>€</t>
  </si>
  <si>
    <t>(2240 kWh * 300 €/kWh)</t>
  </si>
  <si>
    <t>Takaisinmaksuaika</t>
  </si>
  <si>
    <t>vuotta</t>
  </si>
  <si>
    <t>(CAPEX / Nettosäästö)</t>
  </si>
  <si>
    <t>Lautan nimi</t>
  </si>
  <si>
    <t>Houtskari-Korppoo</t>
  </si>
  <si>
    <t>kpl</t>
  </si>
  <si>
    <t>kg CO2/l</t>
  </si>
  <si>
    <t>Akun oletettu sykli-ikä</t>
  </si>
  <si>
    <t>Ympäristö</t>
  </si>
  <si>
    <t>Dieselin päästökerroin</t>
  </si>
  <si>
    <t>2.68</t>
  </si>
  <si>
    <t>Sää</t>
  </si>
  <si>
    <t>Sääkerroin_Kesä</t>
  </si>
  <si>
    <t>1.0</t>
  </si>
  <si>
    <t>kerroin</t>
  </si>
  <si>
    <t>Sääkerroin_Syksy</t>
  </si>
  <si>
    <t>Sääkerroin_Talvi_Jää</t>
  </si>
  <si>
    <t>Infra</t>
  </si>
  <si>
    <t>Latausvarsi_automaatti</t>
  </si>
  <si>
    <t>Liittymismaksu_arvio</t>
  </si>
  <si>
    <t>OPEX</t>
  </si>
  <si>
    <t>Sähkön_siirto_ja_vero</t>
  </si>
  <si>
    <t>0.06</t>
  </si>
  <si>
    <t>Diesel_huoltosaasto</t>
  </si>
  <si>
    <t>€/kW/a</t>
  </si>
  <si>
    <t>1.2</t>
  </si>
  <si>
    <t>1.5</t>
  </si>
  <si>
    <t>Ranta_BESS_CAPEX</t>
  </si>
  <si>
    <t>Ranta-akun hinta per kapasiteetti</t>
  </si>
  <si>
    <t>BESS_koko</t>
  </si>
  <si>
    <t>Ranta-akun koko (0 = ei BESSiä)</t>
  </si>
  <si>
    <t>Tulot</t>
  </si>
  <si>
    <t>Reservituotto_BESS</t>
  </si>
  <si>
    <t>€/kWh/a</t>
  </si>
  <si>
    <t>Arvioitu tulo reservimarkkinoilta</t>
  </si>
  <si>
    <t>Reitti</t>
  </si>
  <si>
    <t>Yöpaikka</t>
  </si>
  <si>
    <t>Teksti</t>
  </si>
  <si>
    <t>Kummassa päässä lautta yöpyy</t>
  </si>
  <si>
    <t>Tekniikka</t>
  </si>
  <si>
    <t>Akun_tyyppi</t>
  </si>
  <si>
    <t>LFP</t>
  </si>
  <si>
    <t>LFP (halvempi) tai NMC (tiheämpi)</t>
  </si>
  <si>
    <t>Selite (Sarake E)</t>
  </si>
  <si>
    <t>Dieselin litrahinta (€/l)</t>
  </si>
  <si>
    <t>Dieselin kulutus suhteessa tuotettuun sähköön (l/kWh)</t>
  </si>
  <si>
    <t>Säästö dieselmoottorin kunnossapidossa per kW vuodessa</t>
  </si>
  <si>
    <t>Nykyisten dieselgeneraattorien yhteisteho laskentaa varten</t>
  </si>
  <si>
    <t>Sähkön keskimääräinen pörssihinta ilman siirtoa</t>
  </si>
  <si>
    <t>Alukseen asennettavan akuston hankintahinta (€/kWh)</t>
  </si>
  <si>
    <t>Satamaan tulevan akkuvaraston hankintahinta (€/kWh)</t>
  </si>
  <si>
    <t>Ranta-akun ylläpitokustannus vuodessa</t>
  </si>
  <si>
    <t>Aluksen keskiteho ajon aikana (kW)</t>
  </si>
  <si>
    <t>Alin sallittu varaustila (turvaraja)</t>
  </si>
  <si>
    <t>Korkein tavoiteltu varaustila (akun suojelu)</t>
  </si>
  <si>
    <t>Kuinka monta lataussykliä akku kestää ennen vaihtoa</t>
  </si>
  <si>
    <t>Akun kunto (%), jolloin se katsotaan käyttöikänsä päähän</t>
  </si>
  <si>
    <t>CO2-päästöt per poltettu litra dieseliä</t>
  </si>
  <si>
    <t>Investoinnin nykyarvon laskennassa käytettävä korko</t>
  </si>
  <si>
    <t>Kulutuskerroin normaaliolosuhteissa</t>
  </si>
  <si>
    <t>Kulutuskerroin kovalla tuulella ja aallokolla</t>
  </si>
  <si>
    <t>Kulutuskerroin jääolosuhteissa ja pakkasella</t>
  </si>
  <si>
    <t>Ranta-infran automaattisen latausliittymän hinta (€)</t>
  </si>
  <si>
    <t>Sähköverkkoyhtiön perimä maksu tehonsyötöstä (€)</t>
  </si>
  <si>
    <t>Sähkön siirtomaksu ja sähkövero yhteensä (€/kWh)</t>
  </si>
  <si>
    <t>Säästö dieselmoottorin kunnossapidossa (€/kW/vuosi)</t>
  </si>
  <si>
    <t>Saapumisaika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</si>
</sst>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erial"/>
    </font>
    <font>
      <sz val="11"/>
      <color theme="1"/>
      <name val="Ae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vertical="center" wrapText="1" readingOrder="1"/>
    </xf>
    <xf numFmtId="0" fontId="2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vertical="center" wrapText="1" readingOrder="1"/>
    </xf>
    <xf numFmtId="3" fontId="1" fillId="0" borderId="2" xfId="0" applyNumberFormat="1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21" fontId="1" fillId="0" borderId="1" xfId="0" applyNumberFormat="1" applyFont="1" applyBorder="1" applyAlignment="1">
      <alignment horizontal="left" vertical="center" wrapText="1" indent="1" readingOrder="1"/>
    </xf>
    <xf numFmtId="0" fontId="2" fillId="0" borderId="0" xfId="0" applyFont="1" applyAlignment="1">
      <alignment vertical="center" wrapTex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49" fontId="1" fillId="0" borderId="1" xfId="0" applyNumberFormat="1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4" fillId="0" borderId="3" xfId="0" applyFont="1" applyBorder="1" applyAlignment="1">
      <alignment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4CD5-BFF9-4639-A0CC-A4C8D10214EA}">
  <dimension ref="A1:I28"/>
  <sheetViews>
    <sheetView zoomScale="85" zoomScaleNormal="85" workbookViewId="0">
      <selection activeCell="E21" sqref="E21"/>
    </sheetView>
  </sheetViews>
  <sheetFormatPr defaultRowHeight="14.25"/>
  <cols>
    <col min="1" max="1" width="18.875" customWidth="1"/>
    <col min="2" max="2" width="24.625" customWidth="1"/>
    <col min="3" max="3" width="10.875" bestFit="1" customWidth="1"/>
    <col min="5" max="5" width="38.375" customWidth="1"/>
    <col min="8" max="8" width="38.625" customWidth="1"/>
  </cols>
  <sheetData>
    <row r="1" spans="1:9" ht="45.75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93</v>
      </c>
    </row>
    <row r="2" spans="1:9" ht="15.75" thickBot="1">
      <c r="A2" s="1" t="s">
        <v>4</v>
      </c>
      <c r="B2" s="3" t="s">
        <v>8</v>
      </c>
      <c r="C2" s="3">
        <v>1.3</v>
      </c>
      <c r="D2" s="4" t="s">
        <v>9</v>
      </c>
      <c r="E2" s="4" t="s">
        <v>94</v>
      </c>
      <c r="H2" s="1"/>
      <c r="I2" s="2"/>
    </row>
    <row r="3" spans="1:9" ht="43.5" thickBot="1">
      <c r="A3" s="1" t="s">
        <v>4</v>
      </c>
      <c r="B3" s="3" t="s">
        <v>10</v>
      </c>
      <c r="C3" s="3">
        <v>0.3</v>
      </c>
      <c r="D3" s="4" t="s">
        <v>11</v>
      </c>
      <c r="E3" s="4" t="s">
        <v>95</v>
      </c>
      <c r="H3" s="1"/>
      <c r="I3" s="4"/>
    </row>
    <row r="4" spans="1:9" ht="43.5" thickBot="1">
      <c r="A4" s="1" t="s">
        <v>4</v>
      </c>
      <c r="B4" s="3" t="s">
        <v>12</v>
      </c>
      <c r="C4" s="3">
        <v>35</v>
      </c>
      <c r="D4" s="4" t="s">
        <v>13</v>
      </c>
      <c r="E4" s="4" t="s">
        <v>96</v>
      </c>
      <c r="H4" s="1"/>
      <c r="I4" s="4"/>
    </row>
    <row r="5" spans="1:9" ht="57.75" thickBot="1">
      <c r="A5" s="1" t="s">
        <v>4</v>
      </c>
      <c r="B5" s="3" t="s">
        <v>14</v>
      </c>
      <c r="C5" s="3">
        <v>850</v>
      </c>
      <c r="D5" s="4" t="s">
        <v>15</v>
      </c>
      <c r="E5" s="4" t="s">
        <v>97</v>
      </c>
      <c r="H5" s="1"/>
      <c r="I5" s="4"/>
    </row>
    <row r="6" spans="1:9" ht="29.25" thickBot="1">
      <c r="A6" s="1" t="s">
        <v>5</v>
      </c>
      <c r="B6" s="3" t="s">
        <v>16</v>
      </c>
      <c r="C6" s="3">
        <v>0.03</v>
      </c>
      <c r="D6" s="4" t="s">
        <v>17</v>
      </c>
      <c r="E6" s="4" t="s">
        <v>98</v>
      </c>
      <c r="H6" s="1"/>
      <c r="I6" s="4"/>
    </row>
    <row r="7" spans="1:9" ht="43.5" thickBot="1">
      <c r="A7" s="1" t="s">
        <v>5</v>
      </c>
      <c r="B7" s="3" t="s">
        <v>18</v>
      </c>
      <c r="C7" s="3">
        <v>300</v>
      </c>
      <c r="D7" s="4" t="s">
        <v>17</v>
      </c>
      <c r="E7" s="4" t="s">
        <v>99</v>
      </c>
      <c r="H7" s="1"/>
      <c r="I7" s="4"/>
    </row>
    <row r="8" spans="1:9" ht="43.5" thickBot="1">
      <c r="A8" s="1" t="s">
        <v>5</v>
      </c>
      <c r="B8" s="3" t="s">
        <v>19</v>
      </c>
      <c r="C8" s="3">
        <v>100</v>
      </c>
      <c r="D8" s="4" t="s">
        <v>17</v>
      </c>
      <c r="E8" s="4" t="s">
        <v>100</v>
      </c>
      <c r="H8" s="1"/>
      <c r="I8" s="4"/>
    </row>
    <row r="9" spans="1:9" ht="43.5" thickBot="1">
      <c r="A9" s="1" t="s">
        <v>5</v>
      </c>
      <c r="B9" s="3" t="s">
        <v>20</v>
      </c>
      <c r="C9" s="3">
        <v>4</v>
      </c>
      <c r="D9" s="4" t="s">
        <v>21</v>
      </c>
      <c r="E9" s="4" t="s">
        <v>101</v>
      </c>
      <c r="H9" s="1"/>
      <c r="I9" s="4"/>
    </row>
    <row r="10" spans="1:9" ht="29.25" thickBot="1">
      <c r="A10" s="1" t="s">
        <v>6</v>
      </c>
      <c r="B10" s="3" t="s">
        <v>22</v>
      </c>
      <c r="C10" s="3">
        <v>850</v>
      </c>
      <c r="D10" s="4" t="s">
        <v>15</v>
      </c>
      <c r="E10" s="4" t="s">
        <v>102</v>
      </c>
      <c r="H10" s="1"/>
      <c r="I10" s="4"/>
    </row>
    <row r="11" spans="1:9" ht="29.25" thickBot="1">
      <c r="A11" s="1" t="s">
        <v>6</v>
      </c>
      <c r="B11" s="3" t="s">
        <v>23</v>
      </c>
      <c r="C11" s="3">
        <v>20</v>
      </c>
      <c r="D11" s="4" t="s">
        <v>24</v>
      </c>
      <c r="E11" s="4" t="s">
        <v>103</v>
      </c>
      <c r="H11" s="1"/>
      <c r="I11" s="4"/>
    </row>
    <row r="12" spans="1:9" ht="29.25" thickBot="1">
      <c r="A12" s="1" t="s">
        <v>6</v>
      </c>
      <c r="B12" s="3" t="s">
        <v>25</v>
      </c>
      <c r="C12" s="3">
        <v>80</v>
      </c>
      <c r="D12" s="4" t="s">
        <v>24</v>
      </c>
      <c r="E12" s="4" t="s">
        <v>104</v>
      </c>
      <c r="H12" s="1"/>
      <c r="I12" s="4"/>
    </row>
    <row r="13" spans="1:9" ht="43.5" thickBot="1">
      <c r="A13" s="1" t="s">
        <v>6</v>
      </c>
      <c r="B13" s="3" t="s">
        <v>57</v>
      </c>
      <c r="C13" s="3">
        <v>3000</v>
      </c>
      <c r="D13" s="4" t="s">
        <v>55</v>
      </c>
      <c r="E13" s="4" t="s">
        <v>105</v>
      </c>
      <c r="H13" s="1"/>
      <c r="I13" s="4"/>
    </row>
    <row r="14" spans="1:9" ht="43.5" thickBot="1">
      <c r="A14" s="1" t="s">
        <v>6</v>
      </c>
      <c r="B14" s="3" t="s">
        <v>26</v>
      </c>
      <c r="C14" s="3">
        <v>80</v>
      </c>
      <c r="D14" s="4" t="s">
        <v>24</v>
      </c>
      <c r="E14" s="4" t="s">
        <v>106</v>
      </c>
      <c r="H14" s="1"/>
      <c r="I14" s="4"/>
    </row>
    <row r="15" spans="1:9" ht="29.25" thickBot="1">
      <c r="A15" s="1" t="s">
        <v>58</v>
      </c>
      <c r="B15" s="3" t="s">
        <v>59</v>
      </c>
      <c r="C15" s="22" t="s">
        <v>60</v>
      </c>
      <c r="D15" s="4" t="s">
        <v>56</v>
      </c>
      <c r="E15" s="4" t="s">
        <v>107</v>
      </c>
      <c r="H15" s="1"/>
      <c r="I15" s="4"/>
    </row>
    <row r="16" spans="1:9" ht="29.25" thickBot="1">
      <c r="A16" s="1" t="s">
        <v>7</v>
      </c>
      <c r="B16" s="3" t="s">
        <v>27</v>
      </c>
      <c r="C16" s="3">
        <v>4</v>
      </c>
      <c r="D16" s="4" t="s">
        <v>24</v>
      </c>
      <c r="E16" s="24" t="s">
        <v>108</v>
      </c>
      <c r="H16" s="1"/>
      <c r="I16" s="4"/>
    </row>
    <row r="17" spans="1:9" ht="15.75" thickBot="1">
      <c r="A17" s="1" t="s">
        <v>61</v>
      </c>
      <c r="B17" s="1" t="s">
        <v>62</v>
      </c>
      <c r="C17" s="22" t="s">
        <v>63</v>
      </c>
      <c r="D17" s="23" t="s">
        <v>64</v>
      </c>
      <c r="E17" s="25" t="s">
        <v>109</v>
      </c>
      <c r="H17" s="1"/>
      <c r="I17" s="4"/>
    </row>
    <row r="18" spans="1:9" ht="15.75" thickBot="1">
      <c r="A18" s="1" t="s">
        <v>61</v>
      </c>
      <c r="B18" s="1" t="s">
        <v>65</v>
      </c>
      <c r="C18" s="22" t="s">
        <v>75</v>
      </c>
      <c r="D18" s="23" t="s">
        <v>64</v>
      </c>
      <c r="E18" s="25" t="s">
        <v>110</v>
      </c>
      <c r="H18" s="1"/>
      <c r="I18" s="4"/>
    </row>
    <row r="19" spans="1:9" ht="15.75" thickBot="1">
      <c r="A19" s="1" t="s">
        <v>61</v>
      </c>
      <c r="B19" s="1" t="s">
        <v>66</v>
      </c>
      <c r="C19" s="22" t="s">
        <v>76</v>
      </c>
      <c r="D19" s="23" t="s">
        <v>64</v>
      </c>
      <c r="E19" s="25" t="s">
        <v>111</v>
      </c>
      <c r="H19" s="1"/>
      <c r="I19" s="4"/>
    </row>
    <row r="20" spans="1:9" ht="29.25" thickBot="1">
      <c r="A20" s="1" t="s">
        <v>67</v>
      </c>
      <c r="B20" s="1" t="s">
        <v>68</v>
      </c>
      <c r="C20" s="3">
        <v>250000</v>
      </c>
      <c r="D20" s="23" t="s">
        <v>48</v>
      </c>
      <c r="E20" s="25" t="s">
        <v>112</v>
      </c>
      <c r="H20" s="1"/>
      <c r="I20" s="4"/>
    </row>
    <row r="21" spans="1:9" ht="29.25" thickBot="1">
      <c r="A21" s="1" t="s">
        <v>67</v>
      </c>
      <c r="B21" s="1" t="s">
        <v>69</v>
      </c>
      <c r="C21" s="3">
        <v>50000</v>
      </c>
      <c r="D21" s="23" t="s">
        <v>48</v>
      </c>
      <c r="E21" s="25" t="s">
        <v>113</v>
      </c>
    </row>
    <row r="22" spans="1:9" ht="29.25" thickBot="1">
      <c r="A22" s="1" t="s">
        <v>70</v>
      </c>
      <c r="B22" s="1" t="s">
        <v>71</v>
      </c>
      <c r="C22" s="3" t="s">
        <v>72</v>
      </c>
      <c r="D22" s="23" t="s">
        <v>17</v>
      </c>
      <c r="E22" s="25" t="s">
        <v>114</v>
      </c>
    </row>
    <row r="23" spans="1:9" ht="29.25" thickBot="1">
      <c r="A23" s="1" t="s">
        <v>70</v>
      </c>
      <c r="B23" s="1" t="s">
        <v>73</v>
      </c>
      <c r="C23" s="3">
        <v>35</v>
      </c>
      <c r="D23" s="23" t="s">
        <v>74</v>
      </c>
      <c r="E23" s="25" t="s">
        <v>115</v>
      </c>
    </row>
    <row r="24" spans="1:9" ht="29.25" thickBot="1">
      <c r="A24" s="1" t="s">
        <v>67</v>
      </c>
      <c r="B24" s="1" t="s">
        <v>77</v>
      </c>
      <c r="C24" s="3">
        <v>100</v>
      </c>
      <c r="D24" s="3" t="s">
        <v>17</v>
      </c>
      <c r="E24" s="20" t="s">
        <v>78</v>
      </c>
    </row>
    <row r="25" spans="1:9" ht="29.25" thickBot="1">
      <c r="A25" s="1" t="s">
        <v>67</v>
      </c>
      <c r="B25" s="1" t="s">
        <v>79</v>
      </c>
      <c r="C25" s="3">
        <v>0</v>
      </c>
      <c r="D25" s="3" t="s">
        <v>38</v>
      </c>
      <c r="E25" s="4" t="s">
        <v>80</v>
      </c>
    </row>
    <row r="26" spans="1:9" ht="57.75" thickBot="1">
      <c r="A26" s="1" t="s">
        <v>81</v>
      </c>
      <c r="B26" s="1" t="s">
        <v>82</v>
      </c>
      <c r="C26" s="3">
        <v>40</v>
      </c>
      <c r="D26" s="3" t="s">
        <v>83</v>
      </c>
      <c r="E26" s="4" t="s">
        <v>84</v>
      </c>
    </row>
    <row r="27" spans="1:9" ht="72" thickBot="1">
      <c r="A27" s="1" t="s">
        <v>85</v>
      </c>
      <c r="B27" s="1" t="s">
        <v>86</v>
      </c>
      <c r="C27" s="3" t="s">
        <v>32</v>
      </c>
      <c r="D27" s="3" t="s">
        <v>87</v>
      </c>
      <c r="E27" s="4" t="s">
        <v>88</v>
      </c>
    </row>
    <row r="28" spans="1:9" ht="57.75" thickBot="1">
      <c r="A28" s="1" t="s">
        <v>89</v>
      </c>
      <c r="B28" s="1" t="s">
        <v>90</v>
      </c>
      <c r="C28" s="3" t="s">
        <v>91</v>
      </c>
      <c r="D28" s="3" t="s">
        <v>87</v>
      </c>
      <c r="E28" s="4" t="s">
        <v>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481C-B8DF-48F8-B83B-0881AB69158C}">
  <dimension ref="A1:H15"/>
  <sheetViews>
    <sheetView tabSelected="1" zoomScale="85" zoomScaleNormal="85" workbookViewId="0">
      <selection activeCell="F25" sqref="F25"/>
    </sheetView>
  </sheetViews>
  <sheetFormatPr defaultRowHeight="14.25"/>
  <cols>
    <col min="1" max="2" width="15.75" customWidth="1"/>
    <col min="3" max="4" width="16.125" customWidth="1"/>
    <col min="5" max="5" width="23.375" customWidth="1"/>
    <col min="6" max="6" width="24" customWidth="1"/>
    <col min="7" max="7" width="16.875" customWidth="1"/>
    <col min="8" max="8" width="20" customWidth="1"/>
  </cols>
  <sheetData>
    <row r="1" spans="1:8" ht="15.75" thickBot="1">
      <c r="A1" s="1" t="s">
        <v>53</v>
      </c>
      <c r="B1" s="1" t="s">
        <v>28</v>
      </c>
      <c r="C1" s="1" t="s">
        <v>29</v>
      </c>
      <c r="D1" s="18" t="s">
        <v>116</v>
      </c>
      <c r="E1" s="18" t="s">
        <v>30</v>
      </c>
      <c r="F1" s="21" t="s">
        <v>31</v>
      </c>
      <c r="G1" s="9"/>
      <c r="H1" s="17"/>
    </row>
    <row r="2" spans="1:8" ht="29.25" thickBot="1">
      <c r="A2" s="3" t="s">
        <v>54</v>
      </c>
      <c r="B2" s="3" t="s">
        <v>32</v>
      </c>
      <c r="C2" s="16">
        <v>0.22222222222222221</v>
      </c>
      <c r="D2" s="26">
        <f>C2 + TIME(0,30,0)</f>
        <v>0.24305555555555555</v>
      </c>
      <c r="E2" s="19">
        <v>25</v>
      </c>
      <c r="F2" s="15" t="s">
        <v>33</v>
      </c>
      <c r="G2" s="10"/>
      <c r="H2" s="11"/>
    </row>
    <row r="3" spans="1:8" ht="29.25" thickBot="1">
      <c r="A3" s="3" t="s">
        <v>54</v>
      </c>
      <c r="B3" s="3" t="s">
        <v>34</v>
      </c>
      <c r="C3" s="16">
        <v>0.26041666666666669</v>
      </c>
      <c r="D3" s="26">
        <f t="shared" ref="D3:D15" si="0">C3 + TIME(0,30,0)</f>
        <v>0.28125</v>
      </c>
      <c r="E3" s="19">
        <v>50</v>
      </c>
      <c r="F3" s="15" t="s">
        <v>33</v>
      </c>
      <c r="G3" s="10"/>
      <c r="H3" s="11"/>
    </row>
    <row r="4" spans="1:8" ht="29.25" thickBot="1">
      <c r="A4" s="3" t="s">
        <v>54</v>
      </c>
      <c r="B4" s="3" t="s">
        <v>32</v>
      </c>
      <c r="C4" s="16">
        <v>0.31597222222222221</v>
      </c>
      <c r="D4" s="26">
        <f t="shared" si="0"/>
        <v>0.33680555555555552</v>
      </c>
      <c r="E4" s="19">
        <v>10</v>
      </c>
      <c r="F4" s="15" t="s">
        <v>33</v>
      </c>
      <c r="G4" s="10"/>
      <c r="H4" s="11"/>
    </row>
    <row r="5" spans="1:8" ht="29.25" thickBot="1">
      <c r="A5" s="3" t="s">
        <v>54</v>
      </c>
      <c r="B5" s="3" t="s">
        <v>34</v>
      </c>
      <c r="C5" s="16">
        <v>0.34375</v>
      </c>
      <c r="D5" s="26">
        <f t="shared" si="0"/>
        <v>0.36458333333333331</v>
      </c>
      <c r="E5" s="3">
        <v>60</v>
      </c>
      <c r="F5" s="20" t="s">
        <v>33</v>
      </c>
    </row>
    <row r="6" spans="1:8" ht="29.25" thickBot="1">
      <c r="A6" s="3" t="s">
        <v>54</v>
      </c>
      <c r="B6" s="3" t="s">
        <v>32</v>
      </c>
      <c r="C6" s="16">
        <v>0.40625</v>
      </c>
      <c r="D6" s="26">
        <f t="shared" si="0"/>
        <v>0.42708333333333331</v>
      </c>
      <c r="E6" s="3">
        <v>45</v>
      </c>
      <c r="F6" s="4" t="s">
        <v>33</v>
      </c>
    </row>
    <row r="7" spans="1:8" ht="29.25" thickBot="1">
      <c r="A7" s="3" t="s">
        <v>54</v>
      </c>
      <c r="B7" s="3" t="s">
        <v>34</v>
      </c>
      <c r="C7" s="16">
        <v>0.45833333333333331</v>
      </c>
      <c r="D7" s="26">
        <f t="shared" si="0"/>
        <v>0.47916666666666663</v>
      </c>
      <c r="E7" s="3">
        <v>45</v>
      </c>
      <c r="F7" s="4" t="s">
        <v>33</v>
      </c>
    </row>
    <row r="8" spans="1:8" ht="29.25" thickBot="1">
      <c r="A8" s="3" t="s">
        <v>54</v>
      </c>
      <c r="B8" s="3" t="s">
        <v>32</v>
      </c>
      <c r="C8" s="16">
        <v>0.51041666666666663</v>
      </c>
      <c r="D8" s="26">
        <f t="shared" si="0"/>
        <v>0.53125</v>
      </c>
      <c r="E8" s="3">
        <v>30</v>
      </c>
      <c r="F8" s="4" t="s">
        <v>33</v>
      </c>
    </row>
    <row r="9" spans="1:8" ht="29.25" thickBot="1">
      <c r="A9" s="3" t="s">
        <v>54</v>
      </c>
      <c r="B9" s="3" t="s">
        <v>34</v>
      </c>
      <c r="C9" s="16">
        <v>0.55208333333333337</v>
      </c>
      <c r="D9" s="26">
        <f t="shared" si="0"/>
        <v>0.57291666666666674</v>
      </c>
      <c r="E9" s="3">
        <v>45</v>
      </c>
      <c r="F9" s="4" t="s">
        <v>33</v>
      </c>
    </row>
    <row r="10" spans="1:8" ht="29.25" thickBot="1">
      <c r="A10" s="3" t="s">
        <v>54</v>
      </c>
      <c r="B10" s="3" t="s">
        <v>32</v>
      </c>
      <c r="C10" s="16">
        <v>0.60416666666666663</v>
      </c>
      <c r="D10" s="26">
        <f t="shared" si="0"/>
        <v>0.625</v>
      </c>
      <c r="E10" s="3">
        <v>30</v>
      </c>
      <c r="F10" s="4" t="s">
        <v>33</v>
      </c>
    </row>
    <row r="11" spans="1:8" ht="29.25" thickBot="1">
      <c r="A11" s="3" t="s">
        <v>54</v>
      </c>
      <c r="B11" s="3" t="s">
        <v>34</v>
      </c>
      <c r="C11" s="16">
        <v>0.64583333333333337</v>
      </c>
      <c r="D11" s="26">
        <f t="shared" si="0"/>
        <v>0.66666666666666674</v>
      </c>
      <c r="E11" s="3">
        <v>60</v>
      </c>
      <c r="F11" s="4" t="s">
        <v>33</v>
      </c>
    </row>
    <row r="12" spans="1:8" ht="29.25" thickBot="1">
      <c r="A12" s="3" t="s">
        <v>54</v>
      </c>
      <c r="B12" s="3" t="s">
        <v>32</v>
      </c>
      <c r="C12" s="16">
        <v>0.70833333333333337</v>
      </c>
      <c r="D12" s="26">
        <f t="shared" si="0"/>
        <v>0.72916666666666674</v>
      </c>
      <c r="E12" s="3">
        <v>30</v>
      </c>
      <c r="F12" s="4" t="s">
        <v>33</v>
      </c>
    </row>
    <row r="13" spans="1:8" ht="29.25" thickBot="1">
      <c r="A13" s="3" t="s">
        <v>54</v>
      </c>
      <c r="B13" s="3" t="s">
        <v>34</v>
      </c>
      <c r="C13" s="16">
        <v>0.75</v>
      </c>
      <c r="D13" s="26">
        <f t="shared" si="0"/>
        <v>0.77083333333333337</v>
      </c>
      <c r="E13" s="3">
        <v>45</v>
      </c>
      <c r="F13" s="4" t="s">
        <v>33</v>
      </c>
    </row>
    <row r="14" spans="1:8" ht="29.25" thickBot="1">
      <c r="A14" s="3" t="s">
        <v>54</v>
      </c>
      <c r="B14" s="3" t="s">
        <v>32</v>
      </c>
      <c r="C14" s="16">
        <v>0.80208333333333337</v>
      </c>
      <c r="D14" s="26">
        <f t="shared" si="0"/>
        <v>0.82291666666666674</v>
      </c>
      <c r="E14" s="3">
        <v>30</v>
      </c>
      <c r="F14" s="4" t="s">
        <v>33</v>
      </c>
    </row>
    <row r="15" spans="1:8" ht="29.25" thickBot="1">
      <c r="A15" s="3" t="s">
        <v>54</v>
      </c>
      <c r="B15" s="3" t="s">
        <v>34</v>
      </c>
      <c r="C15" s="16">
        <v>0.84375</v>
      </c>
      <c r="D15" s="26">
        <f t="shared" si="0"/>
        <v>0.86458333333333337</v>
      </c>
      <c r="E15" s="3">
        <v>60</v>
      </c>
      <c r="F15" s="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9687-4340-4AAC-8F09-D8DA8E069A7F}">
  <dimension ref="A1:D14"/>
  <sheetViews>
    <sheetView zoomScale="85" zoomScaleNormal="85" workbookViewId="0">
      <selection activeCell="D14" sqref="D14"/>
    </sheetView>
  </sheetViews>
  <sheetFormatPr defaultRowHeight="14.25"/>
  <cols>
    <col min="1" max="1" width="29.125" customWidth="1"/>
    <col min="2" max="2" width="20.625" customWidth="1"/>
    <col min="3" max="3" width="21" customWidth="1"/>
    <col min="4" max="4" width="24" customWidth="1"/>
  </cols>
  <sheetData>
    <row r="1" spans="1:4" ht="15.75" thickBot="1">
      <c r="A1" s="1" t="s">
        <v>35</v>
      </c>
      <c r="B1" s="1" t="s">
        <v>2</v>
      </c>
      <c r="C1" s="1" t="s">
        <v>3</v>
      </c>
      <c r="D1" s="2" t="s">
        <v>36</v>
      </c>
    </row>
    <row r="2" spans="1:4" ht="15.75" thickBot="1">
      <c r="A2" s="1" t="s">
        <v>37</v>
      </c>
      <c r="B2" s="5">
        <v>10200</v>
      </c>
      <c r="C2" s="3" t="s">
        <v>38</v>
      </c>
      <c r="D2" s="4" t="s">
        <v>39</v>
      </c>
    </row>
    <row r="3" spans="1:4" ht="15.75" thickBot="1">
      <c r="A3" s="1" t="s">
        <v>40</v>
      </c>
      <c r="B3" s="5">
        <v>1452000</v>
      </c>
      <c r="C3" s="3" t="s">
        <v>41</v>
      </c>
      <c r="D3" s="4" t="s">
        <v>42</v>
      </c>
    </row>
    <row r="4" spans="1:4" ht="30.75" thickBot="1">
      <c r="A4" s="1" t="s">
        <v>43</v>
      </c>
      <c r="B4" s="5">
        <v>6688</v>
      </c>
      <c r="C4" s="3" t="s">
        <v>41</v>
      </c>
      <c r="D4" s="4" t="s">
        <v>44</v>
      </c>
    </row>
    <row r="5" spans="1:4" ht="15.75" thickBot="1">
      <c r="A5" s="1" t="s">
        <v>45</v>
      </c>
      <c r="B5" s="5">
        <v>1475000</v>
      </c>
      <c r="C5" s="3" t="s">
        <v>41</v>
      </c>
      <c r="D5" s="4" t="s">
        <v>46</v>
      </c>
    </row>
    <row r="6" spans="1:4" ht="15">
      <c r="A6" s="6" t="s">
        <v>47</v>
      </c>
      <c r="B6" s="12">
        <v>672000</v>
      </c>
      <c r="C6" s="7" t="s">
        <v>48</v>
      </c>
      <c r="D6" s="8" t="s">
        <v>49</v>
      </c>
    </row>
    <row r="7" spans="1:4" ht="15">
      <c r="A7" s="13" t="s">
        <v>50</v>
      </c>
      <c r="B7" s="14">
        <v>0.46</v>
      </c>
      <c r="C7" s="14" t="s">
        <v>51</v>
      </c>
      <c r="D7" s="15" t="s">
        <v>52</v>
      </c>
    </row>
    <row r="8" spans="1:4" ht="15">
      <c r="A8" s="9"/>
      <c r="B8" s="10"/>
      <c r="C8" s="10"/>
      <c r="D8" s="11"/>
    </row>
    <row r="9" spans="1:4" ht="15">
      <c r="A9" s="9"/>
      <c r="B9" s="10"/>
      <c r="C9" s="10"/>
      <c r="D9" s="11"/>
    </row>
    <row r="10" spans="1:4" ht="15">
      <c r="A10" s="9"/>
      <c r="B10" s="10"/>
      <c r="C10" s="10"/>
      <c r="D10" s="11"/>
    </row>
    <row r="11" spans="1:4" ht="15">
      <c r="A11" s="9"/>
      <c r="B11" s="10"/>
      <c r="C11" s="10"/>
      <c r="D11" s="11"/>
    </row>
    <row r="12" spans="1:4" ht="15">
      <c r="A12" s="9"/>
      <c r="B12" s="10"/>
      <c r="C12" s="10"/>
      <c r="D12" s="11"/>
    </row>
    <row r="13" spans="1:4" ht="15">
      <c r="A13" s="9"/>
      <c r="B13" s="10"/>
      <c r="C13" s="10"/>
      <c r="D13" s="11"/>
    </row>
    <row r="14" spans="1:4" ht="15">
      <c r="A14" s="9"/>
      <c r="B14" s="10"/>
      <c r="C14" s="10"/>
      <c r="D1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Lähtötiedot</vt:lpstr>
      <vt:lpstr>Aikataulu &amp; Reitti</vt:lpstr>
      <vt:lpstr>Laskenta &amp; Optimointi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Järviö</dc:creator>
  <cp:lastModifiedBy>Office</cp:lastModifiedBy>
  <dcterms:created xsi:type="dcterms:W3CDTF">2026-04-24T06:56:11Z</dcterms:created>
  <dcterms:modified xsi:type="dcterms:W3CDTF">2026-04-25T10:03:08Z</dcterms:modified>
</cp:coreProperties>
</file>